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</sheets>
  <functionGroups builtInGroupCount="18"/>
  <definedNames>
    <definedName name="DONEHINT">Tabelle1!$E$187</definedName>
    <definedName name="NOCOHINT">Tabelle1!$E$188</definedName>
    <definedName name="NOTIHINT">Tabelle1!$E$189</definedName>
  </definedNames>
  <calcPr calcId="152511"/>
</workbook>
</file>

<file path=xl/calcChain.xml><?xml version="1.0" encoding="utf-8"?>
<calcChain xmlns="http://schemas.openxmlformats.org/spreadsheetml/2006/main">
  <c r="F167" i="1" l="1"/>
  <c r="F153" i="1"/>
  <c r="F131" i="1"/>
  <c r="F116" i="1"/>
  <c r="F83" i="1"/>
  <c r="F74" i="1"/>
  <c r="F57" i="1"/>
  <c r="F45" i="1"/>
  <c r="F32" i="1"/>
  <c r="F43" i="1"/>
  <c r="F42" i="1"/>
  <c r="F184" i="1"/>
  <c r="F176" i="1"/>
  <c r="F183" i="1"/>
  <c r="F182" i="1"/>
  <c r="F174" i="1"/>
  <c r="F181" i="1"/>
  <c r="F173" i="1"/>
  <c r="F180" i="1"/>
  <c r="F172" i="1"/>
  <c r="F179" i="1"/>
  <c r="F171" i="1"/>
  <c r="F178" i="1"/>
  <c r="F170" i="1"/>
  <c r="F177" i="1"/>
  <c r="F169" i="1"/>
  <c r="F175" i="1"/>
  <c r="F156" i="1"/>
  <c r="F163" i="1"/>
  <c r="F155" i="1"/>
  <c r="F162" i="1"/>
  <c r="F161" i="1"/>
  <c r="F160" i="1"/>
  <c r="F159" i="1"/>
  <c r="F158" i="1"/>
  <c r="F165" i="1"/>
  <c r="F157" i="1"/>
  <c r="F164" i="1"/>
  <c r="F151" i="1"/>
  <c r="F143" i="1"/>
  <c r="F135" i="1"/>
  <c r="F150" i="1"/>
  <c r="F149" i="1"/>
  <c r="F141" i="1"/>
  <c r="F133" i="1"/>
  <c r="F140" i="1"/>
  <c r="F148" i="1"/>
  <c r="F147" i="1"/>
  <c r="F139" i="1"/>
  <c r="F146" i="1"/>
  <c r="F138" i="1"/>
  <c r="F136" i="1"/>
  <c r="F134" i="1"/>
  <c r="F145" i="1"/>
  <c r="F137" i="1"/>
  <c r="F144" i="1"/>
  <c r="F142" i="1"/>
  <c r="F129" i="1"/>
  <c r="F127" i="1"/>
  <c r="F125" i="1"/>
  <c r="F128" i="1"/>
  <c r="F126" i="1"/>
  <c r="F124" i="1"/>
  <c r="F121" i="1"/>
  <c r="F119" i="1"/>
  <c r="F123" i="1"/>
  <c r="F122" i="1"/>
  <c r="F120" i="1"/>
  <c r="F118" i="1"/>
  <c r="F98" i="1"/>
  <c r="F113" i="1"/>
  <c r="F105" i="1"/>
  <c r="F97" i="1"/>
  <c r="F89" i="1"/>
  <c r="F94" i="1"/>
  <c r="F106" i="1"/>
  <c r="F112" i="1"/>
  <c r="F104" i="1"/>
  <c r="F96" i="1"/>
  <c r="F88" i="1"/>
  <c r="F110" i="1"/>
  <c r="F86" i="1"/>
  <c r="F111" i="1"/>
  <c r="F103" i="1"/>
  <c r="F95" i="1"/>
  <c r="F87" i="1"/>
  <c r="F102" i="1"/>
  <c r="F90" i="1"/>
  <c r="F109" i="1"/>
  <c r="F101" i="1"/>
  <c r="F93" i="1"/>
  <c r="F85" i="1"/>
  <c r="F108" i="1"/>
  <c r="F100" i="1"/>
  <c r="F92" i="1"/>
  <c r="F107" i="1"/>
  <c r="F99" i="1"/>
  <c r="F91" i="1"/>
  <c r="F114" i="1"/>
  <c r="F80" i="1"/>
  <c r="F79" i="1"/>
  <c r="F78" i="1"/>
  <c r="F76" i="1"/>
  <c r="F81" i="1"/>
  <c r="F77" i="1"/>
  <c r="F70" i="1"/>
  <c r="F62" i="1"/>
  <c r="F69" i="1"/>
  <c r="F61" i="1"/>
  <c r="F68" i="1"/>
  <c r="F60" i="1"/>
  <c r="F67" i="1"/>
  <c r="F59" i="1"/>
  <c r="F66" i="1"/>
  <c r="F65" i="1"/>
  <c r="F72" i="1"/>
  <c r="F64" i="1"/>
  <c r="F71" i="1"/>
  <c r="F63" i="1"/>
  <c r="F55" i="1"/>
  <c r="F47" i="1"/>
  <c r="F54" i="1"/>
  <c r="F53" i="1"/>
  <c r="F52" i="1"/>
  <c r="F48" i="1"/>
  <c r="F51" i="1"/>
  <c r="F50" i="1"/>
  <c r="F49" i="1"/>
  <c r="F40" i="1"/>
  <c r="F39" i="1"/>
  <c r="F37" i="1"/>
  <c r="F36" i="1"/>
  <c r="F41" i="1"/>
  <c r="F38" i="1"/>
  <c r="F7" i="1"/>
  <c r="F15" i="1"/>
  <c r="F23" i="1"/>
  <c r="F14" i="1"/>
  <c r="F8" i="1"/>
  <c r="F16" i="1"/>
  <c r="F24" i="1"/>
  <c r="F22" i="1"/>
  <c r="F9" i="1"/>
  <c r="F17" i="1"/>
  <c r="F25" i="1"/>
  <c r="F29" i="1"/>
  <c r="F10" i="1"/>
  <c r="F18" i="1"/>
  <c r="F26" i="1"/>
  <c r="F28" i="1"/>
  <c r="F11" i="1"/>
  <c r="F19" i="1"/>
  <c r="F27" i="1"/>
  <c r="F12" i="1"/>
  <c r="F20" i="1"/>
  <c r="F13" i="1"/>
  <c r="F21" i="1"/>
  <c r="F30" i="1"/>
  <c r="F6" i="1"/>
  <c r="F4" i="1" l="1"/>
  <c r="F168" i="1" l="1"/>
  <c r="F154" i="1"/>
  <c r="F132" i="1"/>
  <c r="F117" i="1"/>
  <c r="F84" i="1"/>
  <c r="F75" i="1"/>
  <c r="F58" i="1"/>
  <c r="F46" i="1"/>
  <c r="F35" i="1"/>
</calcChain>
</file>

<file path=xl/sharedStrings.xml><?xml version="1.0" encoding="utf-8"?>
<sst xmlns="http://schemas.openxmlformats.org/spreadsheetml/2006/main" count="446" uniqueCount="188">
  <si>
    <t>Basic library</t>
  </si>
  <si>
    <t>assert</t>
  </si>
  <si>
    <t>collectgarbage</t>
  </si>
  <si>
    <t>dofile</t>
  </si>
  <si>
    <t>error</t>
  </si>
  <si>
    <t>_G</t>
  </si>
  <si>
    <t>getmetatable</t>
  </si>
  <si>
    <t>ipairs</t>
  </si>
  <si>
    <t>load</t>
  </si>
  <si>
    <t>loadfile</t>
  </si>
  <si>
    <t>next</t>
  </si>
  <si>
    <t>pairs</t>
  </si>
  <si>
    <t>pcall</t>
  </si>
  <si>
    <t>print</t>
  </si>
  <si>
    <t>rawequal</t>
  </si>
  <si>
    <t>rawget</t>
  </si>
  <si>
    <t>rawlen</t>
  </si>
  <si>
    <t>rawset</t>
  </si>
  <si>
    <t>select</t>
  </si>
  <si>
    <t>setmetatable</t>
  </si>
  <si>
    <t>tonumber</t>
  </si>
  <si>
    <t>tostring</t>
  </si>
  <si>
    <t>type</t>
  </si>
  <si>
    <t>_VERSION</t>
  </si>
  <si>
    <t>xpcall</t>
  </si>
  <si>
    <t>done</t>
  </si>
  <si>
    <t>noco</t>
  </si>
  <si>
    <t>noti</t>
  </si>
  <si>
    <t>Redirects to DoChunk.</t>
  </si>
  <si>
    <t>Prints on the debug output.</t>
  </si>
  <si>
    <t>“type” is extended with a second boolean parameter, that replaces “userdata” with the clr-type-name: type(obj, true);</t>
  </si>
  <si>
    <t>Coroutine library (coroutine)</t>
  </si>
  <si>
    <t>create</t>
  </si>
  <si>
    <t>resume</t>
  </si>
  <si>
    <t>running</t>
  </si>
  <si>
    <t>status</t>
  </si>
  <si>
    <t>wrap</t>
  </si>
  <si>
    <t>yield</t>
  </si>
  <si>
    <t>Package library (package)</t>
  </si>
  <si>
    <t>require</t>
  </si>
  <si>
    <t>config</t>
  </si>
  <si>
    <t>cpath</t>
  </si>
  <si>
    <t>loaded</t>
  </si>
  <si>
    <t>loadlib</t>
  </si>
  <si>
    <t>path</t>
  </si>
  <si>
    <t>preload</t>
  </si>
  <si>
    <t>searchers</t>
  </si>
  <si>
    <t>searchpath</t>
  </si>
  <si>
    <t>String manipulation (string)</t>
  </si>
  <si>
    <t>byte</t>
  </si>
  <si>
    <t>char</t>
  </si>
  <si>
    <t>dump</t>
  </si>
  <si>
    <t>find</t>
  </si>
  <si>
    <t>.net regex syntax with an exchange of the escape symbol % is \.</t>
  </si>
  <si>
    <t>format</t>
  </si>
  <si>
    <t>gmatch</t>
  </si>
  <si>
    <t>gsub</t>
  </si>
  <si>
    <t>len</t>
  </si>
  <si>
    <t>lower</t>
  </si>
  <si>
    <t>match</t>
  </si>
  <si>
    <t>rep</t>
  </si>
  <si>
    <t>reverse</t>
  </si>
  <si>
    <t>sub</t>
  </si>
  <si>
    <t>upper</t>
  </si>
  <si>
    <t>Table manipulation (table)</t>
  </si>
  <si>
    <t>conat</t>
  </si>
  <si>
    <t>insert</t>
  </si>
  <si>
    <t>pack</t>
  </si>
  <si>
    <t>remove</t>
  </si>
  <si>
    <t>sort</t>
  </si>
  <si>
    <t>unpack</t>
  </si>
  <si>
    <t>Mathematical functions (math)</t>
  </si>
  <si>
    <t>abs</t>
  </si>
  <si>
    <t>acos</t>
  </si>
  <si>
    <t>asin</t>
  </si>
  <si>
    <t>atan</t>
  </si>
  <si>
    <t>atan2</t>
  </si>
  <si>
    <t>ceil</t>
  </si>
  <si>
    <t>cos</t>
  </si>
  <si>
    <t>cosh</t>
  </si>
  <si>
    <t>deg</t>
  </si>
  <si>
    <t>e</t>
  </si>
  <si>
    <t>exp</t>
  </si>
  <si>
    <t>floar</t>
  </si>
  <si>
    <t>fmod</t>
  </si>
  <si>
    <t>frexp</t>
  </si>
  <si>
    <t>huge</t>
  </si>
  <si>
    <t>ldexp</t>
  </si>
  <si>
    <t>log</t>
  </si>
  <si>
    <t>max</t>
  </si>
  <si>
    <t>min</t>
  </si>
  <si>
    <t>modf</t>
  </si>
  <si>
    <t>pi</t>
  </si>
  <si>
    <t>pow</t>
  </si>
  <si>
    <t>rad</t>
  </si>
  <si>
    <t>random</t>
  </si>
  <si>
    <t>randomseed</t>
  </si>
  <si>
    <t>sin</t>
  </si>
  <si>
    <t>sinh</t>
  </si>
  <si>
    <t>sqrt</t>
  </si>
  <si>
    <t>tan</t>
  </si>
  <si>
    <t>tanh</t>
  </si>
  <si>
    <t>Bitwise operations (bit32)</t>
  </si>
  <si>
    <t>arshift</t>
  </si>
  <si>
    <t>band</t>
  </si>
  <si>
    <t>bnot</t>
  </si>
  <si>
    <t>bor</t>
  </si>
  <si>
    <t>btest</t>
  </si>
  <si>
    <t>bxor</t>
  </si>
  <si>
    <t>extract</t>
  </si>
  <si>
    <t>replace</t>
  </si>
  <si>
    <t>lrotate</t>
  </si>
  <si>
    <t>lshift</t>
  </si>
  <si>
    <t>rrotate</t>
  </si>
  <si>
    <t>rshift</t>
  </si>
  <si>
    <t>Input and output (io)</t>
  </si>
  <si>
    <t>close</t>
  </si>
  <si>
    <t>flush</t>
  </si>
  <si>
    <t>input</t>
  </si>
  <si>
    <t>lines</t>
  </si>
  <si>
    <t>open</t>
  </si>
  <si>
    <t>output</t>
  </si>
  <si>
    <t>popen</t>
  </si>
  <si>
    <t>read</t>
  </si>
  <si>
    <t>tmpfile</t>
  </si>
  <si>
    <t>write</t>
  </si>
  <si>
    <t>:close</t>
  </si>
  <si>
    <t>:flush</t>
  </si>
  <si>
    <t>:lines</t>
  </si>
  <si>
    <t>:read</t>
  </si>
  <si>
    <t>:seek</t>
  </si>
  <si>
    <t>:setvbuf</t>
  </si>
  <si>
    <t>:write</t>
  </si>
  <si>
    <t>Operating system facilities (os)</t>
  </si>
  <si>
    <t>clock</t>
  </si>
  <si>
    <t>date</t>
  </si>
  <si>
    <t>difftime</t>
  </si>
  <si>
    <t>execute</t>
  </si>
  <si>
    <t>exit</t>
  </si>
  <si>
    <t>getenv</t>
  </si>
  <si>
    <t>rename</t>
  </si>
  <si>
    <t>setlocale</t>
  </si>
  <si>
    <t>time</t>
  </si>
  <si>
    <t>tmpname</t>
  </si>
  <si>
    <t>Debug facilities (debug)</t>
  </si>
  <si>
    <t>debug</t>
  </si>
  <si>
    <t>gethook</t>
  </si>
  <si>
    <t>getinfo</t>
  </si>
  <si>
    <t>getlocal</t>
  </si>
  <si>
    <t>getregistry</t>
  </si>
  <si>
    <t>getupvalue</t>
  </si>
  <si>
    <t>setuservalue</t>
  </si>
  <si>
    <t>traceback</t>
  </si>
  <si>
    <t>upvalueid</t>
  </si>
  <si>
    <t>upvaluejoin</t>
  </si>
  <si>
    <t/>
  </si>
  <si>
    <t xml:space="preserve">This sections gives an overview of the implementation state of the lua system libraries. </t>
  </si>
  <si>
    <t>Only the parameter "count" and "collect" are supported. "step" and "isrunning" return always "true". "setpause" returns "false".</t>
  </si>
  <si>
    <t>Throws a {{LuaRuntimeException}}.</t>
  </si>
  <si>
    <t>dochunk</t>
  </si>
  <si>
    <t>ok</t>
  </si>
  <si>
    <t>The "mode" "b" is not supported.</t>
  </si>
  <si>
    <t>Ignored.</t>
  </si>
  <si>
    <t>tmpfilenew</t>
  </si>
  <si>
    <t>Creates a temporary file, that is deleted, when it is closed.</t>
  </si>
  <si>
    <t>Works only with ASCII files.
The file-handle uses the IDisposable-Pattern.</t>
  </si>
  <si>
    <t>Returns TotalProcessorTime in seconds.</t>
  </si>
  <si>
    <t>On windows is no signal-result.</t>
  </si>
  <si>
    <t>No metatable for userdata, operators are used.</t>
  </si>
  <si>
    <t>getuservalue</t>
  </si>
  <si>
    <t>sethook</t>
  </si>
  <si>
    <t>setlocal</t>
  </si>
  <si>
    <t>setupvalue</t>
  </si>
  <si>
    <t>Do not trust the returned integer. The return value is only good for comparison.</t>
  </si>
  <si>
    <t>Only works on closures (Lambda's). For example, the upvalues of the function that is returned by load are not join-able.</t>
  </si>
  <si>
    <t>Works on closures and classes.</t>
  </si>
  <si>
    <t>Different implementation, that fits better with the NeoLua framework.</t>
  </si>
  <si>
    <t xml:space="preserve"># Standard Libraries </t>
  </si>
  <si>
    <t>[done]: imgs/done.png</t>
  </si>
  <si>
    <t>[noco]: imgs/noco.png</t>
  </si>
  <si>
    <t>[noti]: imgs/noti.png</t>
  </si>
  <si>
    <t>Calls `System.Diagnostics.Debug.Assert`.</t>
  </si>
  <si>
    <t>Redirects to DoChunk to load and run a text file. Optional add parameters for the script.
```Lua
dofile('test.lua', 'a', 1, 'b', 2);
```
stdin is not supported.</t>
  </si>
  <si>
    <t>Coroutines are implemented in the LuaThread class. This class creates a managed thread for every coroutine. The resume-steps can run asynchronous.</t>
  </si>
  <si>
    <t>:BeginResume</t>
  </si>
  <si>
    <t>:EndResume</t>
  </si>
  <si>
    <t>Starts the execution of the next part of the thread.</t>
  </si>
  <si>
    <t>Waits for the end of currently running part.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</si>
</sst>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89"/>
  <sheetViews>
    <sheetView tabSelected="1" topLeftCell="A20" workbookViewId="0">
      <selection activeCell="E42" sqref="E42"/>
    </sheetView>
  </sheetViews>
  <sheetFormatPr baseColWidth="10" defaultColWidth="9.140625" defaultRowHeight="15" x14ac:dyDescent="0.25"/>
  <cols>
    <col min="1" max="1" width="2.85546875" customWidth="1"/>
    <col min="2" max="2" width="13.85546875" bestFit="1" customWidth="1"/>
    <col min="3" max="4" width="9.140625" customWidth="1"/>
    <col min="5" max="5" width="107.85546875" bestFit="1" customWidth="1"/>
  </cols>
  <sheetData>
    <row r="1" spans="1:6" x14ac:dyDescent="0.25">
      <c r="F1" t="s">
        <v>177</v>
      </c>
    </row>
    <row r="2" spans="1:6" x14ac:dyDescent="0.25">
      <c r="F2" t="s">
        <v>156</v>
      </c>
    </row>
    <row r="4" spans="1:6" x14ac:dyDescent="0.25">
      <c r="A4" t="s">
        <v>0</v>
      </c>
      <c r="F4" t="str">
        <f>"## "&amp;A4</f>
        <v>## Basic library</v>
      </c>
    </row>
    <row r="5" spans="1:6" x14ac:dyDescent="0.25">
      <c r="B5" s="3" t="s">
        <v>155</v>
      </c>
      <c r="C5" s="4"/>
      <c r="D5" s="4"/>
      <c r="E5" s="4"/>
    </row>
    <row r="6" spans="1:6" x14ac:dyDescent="0.25">
      <c r="B6" t="s">
        <v>1</v>
      </c>
      <c r="C6" t="s">
        <v>25</v>
      </c>
      <c r="D6" t="s">
        <v>160</v>
      </c>
      <c r="E6" t="s">
        <v>181</v>
      </c>
      <c r="F6" t="str">
        <f>"* "&amp;GetImage(C6)&amp;" `"&amp;B6&amp;"`  "&amp;E6</f>
        <v>* ![Is compatible to the lua reference.][done] `assert`  Calls `System.Diagnostics.Debug.Assert`.</v>
      </c>
    </row>
    <row r="7" spans="1:6" x14ac:dyDescent="0.25">
      <c r="B7" t="s">
        <v>2</v>
      </c>
      <c r="C7" t="s">
        <v>26</v>
      </c>
      <c r="D7" t="s">
        <v>160</v>
      </c>
      <c r="E7" t="s">
        <v>157</v>
      </c>
      <c r="F7" t="str">
        <f t="shared" ref="F7:F30" si="0">"* "&amp;GetImage(C7)&amp;" `"&amp;B7&amp;"`  "&amp;E7</f>
        <v>* ![Not full compatible to the lua reference.][noco] `collectgarbage`  Only the parameter "count" and "collect" are supported. "step" and "isrunning" return always "true". "setpause" returns "false".</v>
      </c>
    </row>
    <row r="8" spans="1:6" ht="75" x14ac:dyDescent="0.25">
      <c r="B8" t="s">
        <v>3</v>
      </c>
      <c r="C8" t="s">
        <v>26</v>
      </c>
      <c r="D8" t="s">
        <v>160</v>
      </c>
      <c r="E8" s="1" t="s">
        <v>182</v>
      </c>
      <c r="F8" t="str">
        <f t="shared" si="0"/>
        <v>* ![Not full compatible to the lua reference.][noco] `dofile`  Redirects to DoChunk to load and run a text file. Optional add parameters for the script.
```Lua
dofile('test.lua', 'a', 1, 'b', 2);
```
stdin is not supported.</v>
      </c>
    </row>
    <row r="9" spans="1:6" x14ac:dyDescent="0.25">
      <c r="B9" t="s">
        <v>159</v>
      </c>
      <c r="C9" t="s">
        <v>26</v>
      </c>
      <c r="D9" t="s">
        <v>160</v>
      </c>
      <c r="E9" s="1" t="s">
        <v>28</v>
      </c>
      <c r="F9" t="str">
        <f t="shared" si="0"/>
        <v>* ![Not full compatible to the lua reference.][noco] `dochunk`  Redirects to DoChunk.</v>
      </c>
    </row>
    <row r="10" spans="1:6" x14ac:dyDescent="0.25">
      <c r="B10" t="s">
        <v>4</v>
      </c>
      <c r="C10" t="s">
        <v>25</v>
      </c>
      <c r="D10" t="s">
        <v>160</v>
      </c>
      <c r="E10" t="s">
        <v>158</v>
      </c>
      <c r="F10" t="str">
        <f t="shared" si="0"/>
        <v>* ![Is compatible to the lua reference.][done] `error`  Throws a {{LuaRuntimeException}}.</v>
      </c>
    </row>
    <row r="11" spans="1:6" x14ac:dyDescent="0.25">
      <c r="B11" t="s">
        <v>5</v>
      </c>
      <c r="C11" t="s">
        <v>25</v>
      </c>
      <c r="D11" t="s">
        <v>160</v>
      </c>
      <c r="F11" t="str">
        <f t="shared" si="0"/>
        <v xml:space="preserve">* ![Is compatible to the lua reference.][done] `_G`  </v>
      </c>
    </row>
    <row r="12" spans="1:6" x14ac:dyDescent="0.25">
      <c r="B12" t="s">
        <v>6</v>
      </c>
      <c r="C12" t="s">
        <v>26</v>
      </c>
      <c r="E12" t="s">
        <v>168</v>
      </c>
      <c r="F12" t="str">
        <f t="shared" si="0"/>
        <v>* ![Not full compatible to the lua reference.][noco] `getmetatable`  No metatable for userdata, operators are used.</v>
      </c>
    </row>
    <row r="13" spans="1:6" x14ac:dyDescent="0.25">
      <c r="B13" t="s">
        <v>7</v>
      </c>
      <c r="C13" t="s">
        <v>25</v>
      </c>
      <c r="D13" t="s">
        <v>160</v>
      </c>
      <c r="F13" t="str">
        <f t="shared" si="0"/>
        <v xml:space="preserve">* ![Is compatible to the lua reference.][done] `ipairs`  </v>
      </c>
    </row>
    <row r="14" spans="1:6" x14ac:dyDescent="0.25">
      <c r="B14" t="s">
        <v>8</v>
      </c>
      <c r="C14" t="s">
        <v>26</v>
      </c>
      <c r="D14" t="s">
        <v>160</v>
      </c>
      <c r="E14" t="s">
        <v>161</v>
      </c>
      <c r="F14" t="str">
        <f t="shared" si="0"/>
        <v>* ![Not full compatible to the lua reference.][noco] `load`  The "mode" "b" is not supported.</v>
      </c>
    </row>
    <row r="15" spans="1:6" x14ac:dyDescent="0.25">
      <c r="B15" t="s">
        <v>9</v>
      </c>
      <c r="C15" t="s">
        <v>26</v>
      </c>
      <c r="D15" t="s">
        <v>160</v>
      </c>
      <c r="E15" t="s">
        <v>161</v>
      </c>
      <c r="F15" t="str">
        <f t="shared" si="0"/>
        <v>* ![Not full compatible to the lua reference.][noco] `loadfile`  The "mode" "b" is not supported.</v>
      </c>
    </row>
    <row r="16" spans="1:6" x14ac:dyDescent="0.25">
      <c r="B16" t="s">
        <v>10</v>
      </c>
      <c r="C16" t="s">
        <v>25</v>
      </c>
      <c r="D16" t="s">
        <v>160</v>
      </c>
      <c r="F16" t="str">
        <f t="shared" si="0"/>
        <v xml:space="preserve">* ![Is compatible to the lua reference.][done] `next`  </v>
      </c>
    </row>
    <row r="17" spans="1:6" x14ac:dyDescent="0.25">
      <c r="B17" t="s">
        <v>11</v>
      </c>
      <c r="C17" t="s">
        <v>25</v>
      </c>
      <c r="D17" t="s">
        <v>160</v>
      </c>
      <c r="F17" t="str">
        <f t="shared" si="0"/>
        <v xml:space="preserve">* ![Is compatible to the lua reference.][done] `pairs`  </v>
      </c>
    </row>
    <row r="18" spans="1:6" x14ac:dyDescent="0.25">
      <c r="B18" t="s">
        <v>12</v>
      </c>
      <c r="C18" t="s">
        <v>25</v>
      </c>
      <c r="D18" t="s">
        <v>160</v>
      </c>
      <c r="F18" t="str">
        <f t="shared" si="0"/>
        <v xml:space="preserve">* ![Is compatible to the lua reference.][done] `pcall`  </v>
      </c>
    </row>
    <row r="19" spans="1:6" x14ac:dyDescent="0.25">
      <c r="B19" t="s">
        <v>13</v>
      </c>
      <c r="C19" t="s">
        <v>25</v>
      </c>
      <c r="D19" t="s">
        <v>160</v>
      </c>
      <c r="E19" t="s">
        <v>29</v>
      </c>
      <c r="F19" t="str">
        <f t="shared" si="0"/>
        <v>* ![Is compatible to the lua reference.][done] `print`  Prints on the debug output.</v>
      </c>
    </row>
    <row r="20" spans="1:6" x14ac:dyDescent="0.25">
      <c r="B20" t="s">
        <v>14</v>
      </c>
      <c r="C20" t="s">
        <v>25</v>
      </c>
      <c r="D20" t="s">
        <v>160</v>
      </c>
      <c r="F20" t="str">
        <f t="shared" si="0"/>
        <v xml:space="preserve">* ![Is compatible to the lua reference.][done] `rawequal`  </v>
      </c>
    </row>
    <row r="21" spans="1:6" x14ac:dyDescent="0.25">
      <c r="B21" t="s">
        <v>15</v>
      </c>
      <c r="C21" t="s">
        <v>25</v>
      </c>
      <c r="F21" t="str">
        <f t="shared" si="0"/>
        <v xml:space="preserve">* ![Is compatible to the lua reference.][done] `rawget`  </v>
      </c>
    </row>
    <row r="22" spans="1:6" x14ac:dyDescent="0.25">
      <c r="B22" t="s">
        <v>16</v>
      </c>
      <c r="C22" t="s">
        <v>25</v>
      </c>
      <c r="F22" t="str">
        <f t="shared" si="0"/>
        <v xml:space="preserve">* ![Is compatible to the lua reference.][done] `rawlen`  </v>
      </c>
    </row>
    <row r="23" spans="1:6" x14ac:dyDescent="0.25">
      <c r="B23" t="s">
        <v>17</v>
      </c>
      <c r="C23" t="s">
        <v>25</v>
      </c>
      <c r="F23" t="str">
        <f t="shared" si="0"/>
        <v xml:space="preserve">* ![Is compatible to the lua reference.][done] `rawset`  </v>
      </c>
    </row>
    <row r="24" spans="1:6" x14ac:dyDescent="0.25">
      <c r="B24" t="s">
        <v>18</v>
      </c>
      <c r="C24" t="s">
        <v>25</v>
      </c>
      <c r="F24" t="str">
        <f t="shared" si="0"/>
        <v xml:space="preserve">* ![Is compatible to the lua reference.][done] `select`  </v>
      </c>
    </row>
    <row r="25" spans="1:6" x14ac:dyDescent="0.25">
      <c r="B25" t="s">
        <v>19</v>
      </c>
      <c r="C25" t="s">
        <v>26</v>
      </c>
      <c r="E25" t="s">
        <v>168</v>
      </c>
      <c r="F25" t="str">
        <f t="shared" si="0"/>
        <v>* ![Not full compatible to the lua reference.][noco] `setmetatable`  No metatable for userdata, operators are used.</v>
      </c>
    </row>
    <row r="26" spans="1:6" x14ac:dyDescent="0.25">
      <c r="B26" t="s">
        <v>20</v>
      </c>
      <c r="C26" t="s">
        <v>25</v>
      </c>
      <c r="F26" t="str">
        <f t="shared" si="0"/>
        <v xml:space="preserve">* ![Is compatible to the lua reference.][done] `tonumber`  </v>
      </c>
    </row>
    <row r="27" spans="1:6" x14ac:dyDescent="0.25">
      <c r="B27" t="s">
        <v>21</v>
      </c>
      <c r="C27" t="s">
        <v>25</v>
      </c>
      <c r="F27" t="str">
        <f t="shared" si="0"/>
        <v xml:space="preserve">* ![Is compatible to the lua reference.][done] `tostring`  </v>
      </c>
    </row>
    <row r="28" spans="1:6" x14ac:dyDescent="0.25">
      <c r="B28" t="s">
        <v>22</v>
      </c>
      <c r="C28" t="s">
        <v>25</v>
      </c>
      <c r="E28" t="s">
        <v>30</v>
      </c>
      <c r="F28" t="str">
        <f t="shared" si="0"/>
        <v>* ![Is compatible to the lua reference.][done] `type`  “type” is extended with a second boolean parameter, that replaces “userdata” with the clr-type-name: type(obj, true);</v>
      </c>
    </row>
    <row r="29" spans="1:6" x14ac:dyDescent="0.25">
      <c r="B29" t="s">
        <v>23</v>
      </c>
      <c r="C29" t="s">
        <v>25</v>
      </c>
      <c r="F29" t="str">
        <f t="shared" si="0"/>
        <v xml:space="preserve">* ![Is compatible to the lua reference.][done] `_VERSION`  </v>
      </c>
    </row>
    <row r="30" spans="1:6" x14ac:dyDescent="0.25">
      <c r="B30" t="s">
        <v>24</v>
      </c>
      <c r="C30" t="s">
        <v>25</v>
      </c>
      <c r="F30" t="str">
        <f t="shared" si="0"/>
        <v xml:space="preserve">* ![Is compatible to the lua reference.][done] `xpcall`  </v>
      </c>
    </row>
    <row r="32" spans="1:6" x14ac:dyDescent="0.25">
      <c r="A32" t="s">
        <v>31</v>
      </c>
      <c r="F32" t="str">
        <f>"## "&amp;A32</f>
        <v>## Coroutine library (coroutine)</v>
      </c>
    </row>
    <row r="34" spans="1:6" x14ac:dyDescent="0.25">
      <c r="F34" t="s">
        <v>183</v>
      </c>
    </row>
    <row r="35" spans="1:6" x14ac:dyDescent="0.25">
      <c r="B35" s="3" t="s">
        <v>155</v>
      </c>
      <c r="C35" s="4"/>
      <c r="D35" s="4"/>
      <c r="E35" s="4"/>
      <c r="F35" t="str">
        <f>B35</f>
        <v/>
      </c>
    </row>
    <row r="36" spans="1:6" x14ac:dyDescent="0.25">
      <c r="B36" t="s">
        <v>32</v>
      </c>
      <c r="C36" t="s">
        <v>25</v>
      </c>
      <c r="D36" t="s">
        <v>160</v>
      </c>
      <c r="F36" t="str">
        <f t="shared" ref="F36:F43" si="1">"* "&amp;GetImage(C36)&amp;" `"&amp;B36&amp;"`  "&amp;E36</f>
        <v xml:space="preserve">* ![Is compatible to the lua reference.][done] `create`  </v>
      </c>
    </row>
    <row r="37" spans="1:6" x14ac:dyDescent="0.25">
      <c r="B37" t="s">
        <v>33</v>
      </c>
      <c r="C37" t="s">
        <v>25</v>
      </c>
      <c r="D37" t="s">
        <v>160</v>
      </c>
      <c r="F37" t="str">
        <f t="shared" si="1"/>
        <v xml:space="preserve">* ![Is compatible to the lua reference.][done] `resume`  </v>
      </c>
    </row>
    <row r="38" spans="1:6" x14ac:dyDescent="0.25">
      <c r="B38" t="s">
        <v>34</v>
      </c>
      <c r="C38" t="s">
        <v>25</v>
      </c>
      <c r="D38" t="s">
        <v>160</v>
      </c>
      <c r="F38" t="str">
        <f t="shared" si="1"/>
        <v xml:space="preserve">* ![Is compatible to the lua reference.][done] `running`  </v>
      </c>
    </row>
    <row r="39" spans="1:6" x14ac:dyDescent="0.25">
      <c r="B39" t="s">
        <v>35</v>
      </c>
      <c r="C39" t="s">
        <v>25</v>
      </c>
      <c r="D39" t="s">
        <v>160</v>
      </c>
      <c r="F39" t="str">
        <f t="shared" si="1"/>
        <v xml:space="preserve">* ![Is compatible to the lua reference.][done] `status`  </v>
      </c>
    </row>
    <row r="40" spans="1:6" x14ac:dyDescent="0.25">
      <c r="B40" t="s">
        <v>36</v>
      </c>
      <c r="C40" t="s">
        <v>25</v>
      </c>
      <c r="D40" t="s">
        <v>160</v>
      </c>
      <c r="F40" t="str">
        <f t="shared" si="1"/>
        <v xml:space="preserve">* ![Is compatible to the lua reference.][done] `wrap`  </v>
      </c>
    </row>
    <row r="41" spans="1:6" x14ac:dyDescent="0.25">
      <c r="B41" t="s">
        <v>37</v>
      </c>
      <c r="C41" t="s">
        <v>25</v>
      </c>
      <c r="D41" t="s">
        <v>160</v>
      </c>
      <c r="F41" t="str">
        <f t="shared" si="1"/>
        <v xml:space="preserve">* ![Is compatible to the lua reference.][done] `yield`  </v>
      </c>
    </row>
    <row r="42" spans="1:6" x14ac:dyDescent="0.25">
      <c r="B42" t="s">
        <v>184</v>
      </c>
      <c r="C42" t="s">
        <v>26</v>
      </c>
      <c r="D42" t="s">
        <v>160</v>
      </c>
      <c r="E42" t="s">
        <v>186</v>
      </c>
      <c r="F42" t="str">
        <f t="shared" si="1"/>
        <v>* ![Not full compatible to the lua reference.][noco] `:BeginResume`  Starts the execution of the next part of the thread.</v>
      </c>
    </row>
    <row r="43" spans="1:6" x14ac:dyDescent="0.25">
      <c r="B43" t="s">
        <v>185</v>
      </c>
      <c r="C43" t="s">
        <v>26</v>
      </c>
      <c r="D43" t="s">
        <v>160</v>
      </c>
      <c r="E43" t="s">
        <v>187</v>
      </c>
      <c r="F43" t="str">
        <f t="shared" si="1"/>
        <v>* ![Not full compatible to the lua reference.][noco] `:EndResume`  Waits for the end of currently running part.</v>
      </c>
    </row>
    <row r="45" spans="1:6" x14ac:dyDescent="0.25">
      <c r="A45" t="s">
        <v>38</v>
      </c>
      <c r="F45" t="str">
        <f>"## "&amp;A45</f>
        <v>## Package library (package)</v>
      </c>
    </row>
    <row r="46" spans="1:6" x14ac:dyDescent="0.25">
      <c r="B46" s="3" t="s">
        <v>155</v>
      </c>
      <c r="C46" s="4"/>
      <c r="D46" s="4"/>
      <c r="E46" s="4"/>
      <c r="F46" t="str">
        <f>B46</f>
        <v/>
      </c>
    </row>
    <row r="47" spans="1:6" x14ac:dyDescent="0.25">
      <c r="B47" t="s">
        <v>39</v>
      </c>
      <c r="C47" t="s">
        <v>26</v>
      </c>
      <c r="E47" t="s">
        <v>176</v>
      </c>
      <c r="F47" t="str">
        <f t="shared" ref="F47:F55" si="2">"* "&amp;GetImage(C47)&amp;" `"&amp;B47&amp;"`  "&amp;E47</f>
        <v>* ![Not full compatible to the lua reference.][noco] `require`  Different implementation, that fits better with the NeoLua framework.</v>
      </c>
    </row>
    <row r="48" spans="1:6" x14ac:dyDescent="0.25">
      <c r="B48" t="s">
        <v>40</v>
      </c>
      <c r="C48" t="s">
        <v>25</v>
      </c>
      <c r="F48" t="str">
        <f t="shared" si="2"/>
        <v xml:space="preserve">* ![Is compatible to the lua reference.][done] `config`  </v>
      </c>
    </row>
    <row r="49" spans="1:6" x14ac:dyDescent="0.25">
      <c r="B49" t="s">
        <v>41</v>
      </c>
      <c r="C49" t="s">
        <v>27</v>
      </c>
      <c r="F49" t="str">
        <f t="shared" si="2"/>
        <v xml:space="preserve">* ![Not implemented. Yet.][noti] `cpath`  </v>
      </c>
    </row>
    <row r="50" spans="1:6" x14ac:dyDescent="0.25">
      <c r="B50" t="s">
        <v>42</v>
      </c>
      <c r="C50" t="s">
        <v>27</v>
      </c>
      <c r="F50" t="str">
        <f t="shared" si="2"/>
        <v xml:space="preserve">* ![Not implemented. Yet.][noti] `loaded`  </v>
      </c>
    </row>
    <row r="51" spans="1:6" x14ac:dyDescent="0.25">
      <c r="B51" t="s">
        <v>43</v>
      </c>
      <c r="C51" t="s">
        <v>27</v>
      </c>
      <c r="F51" t="str">
        <f t="shared" si="2"/>
        <v xml:space="preserve">* ![Not implemented. Yet.][noti] `loadlib`  </v>
      </c>
    </row>
    <row r="52" spans="1:6" x14ac:dyDescent="0.25">
      <c r="B52" t="s">
        <v>44</v>
      </c>
      <c r="C52" t="s">
        <v>25</v>
      </c>
      <c r="F52" t="str">
        <f t="shared" si="2"/>
        <v xml:space="preserve">* ![Is compatible to the lua reference.][done] `path`  </v>
      </c>
    </row>
    <row r="53" spans="1:6" x14ac:dyDescent="0.25">
      <c r="B53" t="s">
        <v>45</v>
      </c>
      <c r="C53" t="s">
        <v>27</v>
      </c>
      <c r="F53" t="str">
        <f t="shared" si="2"/>
        <v xml:space="preserve">* ![Not implemented. Yet.][noti] `preload`  </v>
      </c>
    </row>
    <row r="54" spans="1:6" x14ac:dyDescent="0.25">
      <c r="B54" t="s">
        <v>46</v>
      </c>
      <c r="C54" t="s">
        <v>27</v>
      </c>
      <c r="F54" t="str">
        <f t="shared" si="2"/>
        <v xml:space="preserve">* ![Not implemented. Yet.][noti] `searchers`  </v>
      </c>
    </row>
    <row r="55" spans="1:6" x14ac:dyDescent="0.25">
      <c r="B55" t="s">
        <v>47</v>
      </c>
      <c r="C55" t="s">
        <v>27</v>
      </c>
      <c r="F55" t="str">
        <f t="shared" si="2"/>
        <v xml:space="preserve">* ![Not implemented. Yet.][noti] `searchpath`  </v>
      </c>
    </row>
    <row r="57" spans="1:6" x14ac:dyDescent="0.25">
      <c r="A57" t="s">
        <v>48</v>
      </c>
      <c r="F57" t="str">
        <f>"## "&amp;A57</f>
        <v>## String manipulation (string)</v>
      </c>
    </row>
    <row r="58" spans="1:6" x14ac:dyDescent="0.25">
      <c r="B58" s="3" t="s">
        <v>155</v>
      </c>
      <c r="C58" s="4"/>
      <c r="D58" s="4"/>
      <c r="E58" s="4"/>
      <c r="F58" t="str">
        <f>B58</f>
        <v/>
      </c>
    </row>
    <row r="59" spans="1:6" x14ac:dyDescent="0.25">
      <c r="B59" t="s">
        <v>49</v>
      </c>
      <c r="C59" t="s">
        <v>25</v>
      </c>
      <c r="F59" t="str">
        <f t="shared" ref="F59:F72" si="3">"* "&amp;GetImage(C59)&amp;" `"&amp;B59&amp;"`  "&amp;E59</f>
        <v xml:space="preserve">* ![Is compatible to the lua reference.][done] `byte`  </v>
      </c>
    </row>
    <row r="60" spans="1:6" x14ac:dyDescent="0.25">
      <c r="B60" t="s">
        <v>50</v>
      </c>
      <c r="C60" t="s">
        <v>25</v>
      </c>
      <c r="F60" t="str">
        <f t="shared" si="3"/>
        <v xml:space="preserve">* ![Is compatible to the lua reference.][done] `char`  </v>
      </c>
    </row>
    <row r="61" spans="1:6" x14ac:dyDescent="0.25">
      <c r="B61" t="s">
        <v>51</v>
      </c>
      <c r="C61" t="s">
        <v>27</v>
      </c>
      <c r="F61" t="str">
        <f t="shared" si="3"/>
        <v xml:space="preserve">* ![Not implemented. Yet.][noti] `dump`  </v>
      </c>
    </row>
    <row r="62" spans="1:6" x14ac:dyDescent="0.25">
      <c r="B62" t="s">
        <v>52</v>
      </c>
      <c r="C62" t="s">
        <v>26</v>
      </c>
      <c r="E62" t="s">
        <v>53</v>
      </c>
      <c r="F62" t="str">
        <f t="shared" si="3"/>
        <v>* ![Not full compatible to the lua reference.][noco] `find`  .net regex syntax with an exchange of the escape symbol % is \.</v>
      </c>
    </row>
    <row r="63" spans="1:6" x14ac:dyDescent="0.25">
      <c r="B63" t="s">
        <v>54</v>
      </c>
      <c r="C63" t="s">
        <v>25</v>
      </c>
      <c r="F63" t="str">
        <f t="shared" si="3"/>
        <v xml:space="preserve">* ![Is compatible to the lua reference.][done] `format`  </v>
      </c>
    </row>
    <row r="64" spans="1:6" x14ac:dyDescent="0.25">
      <c r="B64" t="s">
        <v>55</v>
      </c>
      <c r="C64" t="s">
        <v>26</v>
      </c>
      <c r="F64" t="str">
        <f t="shared" si="3"/>
        <v xml:space="preserve">* ![Not full compatible to the lua reference.][noco] `gmatch`  </v>
      </c>
    </row>
    <row r="65" spans="1:6" x14ac:dyDescent="0.25">
      <c r="B65" t="s">
        <v>56</v>
      </c>
      <c r="C65" t="s">
        <v>27</v>
      </c>
      <c r="F65" t="str">
        <f t="shared" si="3"/>
        <v xml:space="preserve">* ![Not implemented. Yet.][noti] `gsub`  </v>
      </c>
    </row>
    <row r="66" spans="1:6" x14ac:dyDescent="0.25">
      <c r="B66" t="s">
        <v>57</v>
      </c>
      <c r="C66" t="s">
        <v>25</v>
      </c>
      <c r="F66" t="str">
        <f t="shared" si="3"/>
        <v xml:space="preserve">* ![Is compatible to the lua reference.][done] `len`  </v>
      </c>
    </row>
    <row r="67" spans="1:6" x14ac:dyDescent="0.25">
      <c r="B67" t="s">
        <v>58</v>
      </c>
      <c r="C67" t="s">
        <v>25</v>
      </c>
      <c r="F67" t="str">
        <f t="shared" si="3"/>
        <v xml:space="preserve">* ![Is compatible to the lua reference.][done] `lower`  </v>
      </c>
    </row>
    <row r="68" spans="1:6" x14ac:dyDescent="0.25">
      <c r="B68" t="s">
        <v>59</v>
      </c>
      <c r="C68" t="s">
        <v>26</v>
      </c>
      <c r="F68" t="str">
        <f t="shared" si="3"/>
        <v xml:space="preserve">* ![Not full compatible to the lua reference.][noco] `match`  </v>
      </c>
    </row>
    <row r="69" spans="1:6" x14ac:dyDescent="0.25">
      <c r="B69" t="s">
        <v>60</v>
      </c>
      <c r="C69" t="s">
        <v>25</v>
      </c>
      <c r="F69" t="str">
        <f t="shared" si="3"/>
        <v xml:space="preserve">* ![Is compatible to the lua reference.][done] `rep`  </v>
      </c>
    </row>
    <row r="70" spans="1:6" x14ac:dyDescent="0.25">
      <c r="B70" t="s">
        <v>61</v>
      </c>
      <c r="C70" t="s">
        <v>25</v>
      </c>
      <c r="F70" t="str">
        <f t="shared" si="3"/>
        <v xml:space="preserve">* ![Is compatible to the lua reference.][done] `reverse`  </v>
      </c>
    </row>
    <row r="71" spans="1:6" x14ac:dyDescent="0.25">
      <c r="B71" t="s">
        <v>62</v>
      </c>
      <c r="C71" t="s">
        <v>25</v>
      </c>
      <c r="F71" t="str">
        <f t="shared" si="3"/>
        <v xml:space="preserve">* ![Is compatible to the lua reference.][done] `sub`  </v>
      </c>
    </row>
    <row r="72" spans="1:6" x14ac:dyDescent="0.25">
      <c r="B72" t="s">
        <v>63</v>
      </c>
      <c r="C72" t="s">
        <v>25</v>
      </c>
      <c r="F72" t="str">
        <f t="shared" si="3"/>
        <v xml:space="preserve">* ![Is compatible to the lua reference.][done] `upper`  </v>
      </c>
    </row>
    <row r="74" spans="1:6" x14ac:dyDescent="0.25">
      <c r="A74" t="s">
        <v>64</v>
      </c>
      <c r="F74" t="str">
        <f>"## "&amp;A74</f>
        <v>## Table manipulation (table)</v>
      </c>
    </row>
    <row r="75" spans="1:6" x14ac:dyDescent="0.25">
      <c r="B75" s="3" t="s">
        <v>155</v>
      </c>
      <c r="C75" s="4"/>
      <c r="D75" s="4"/>
      <c r="E75" s="4"/>
      <c r="F75" t="str">
        <f>B75</f>
        <v/>
      </c>
    </row>
    <row r="76" spans="1:6" x14ac:dyDescent="0.25">
      <c r="B76" t="s">
        <v>65</v>
      </c>
      <c r="C76" t="s">
        <v>25</v>
      </c>
      <c r="D76" t="s">
        <v>160</v>
      </c>
      <c r="F76" t="str">
        <f t="shared" ref="F76:F81" si="4">"* "&amp;GetImage(C76)&amp;" `"&amp;B76&amp;"`  "&amp;E76</f>
        <v xml:space="preserve">* ![Is compatible to the lua reference.][done] `conat`  </v>
      </c>
    </row>
    <row r="77" spans="1:6" x14ac:dyDescent="0.25">
      <c r="B77" t="s">
        <v>66</v>
      </c>
      <c r="C77" t="s">
        <v>25</v>
      </c>
      <c r="D77" t="s">
        <v>160</v>
      </c>
      <c r="F77" t="str">
        <f t="shared" si="4"/>
        <v xml:space="preserve">* ![Is compatible to the lua reference.][done] `insert`  </v>
      </c>
    </row>
    <row r="78" spans="1:6" x14ac:dyDescent="0.25">
      <c r="B78" t="s">
        <v>67</v>
      </c>
      <c r="C78" t="s">
        <v>25</v>
      </c>
      <c r="D78" t="s">
        <v>160</v>
      </c>
      <c r="F78" t="str">
        <f t="shared" si="4"/>
        <v xml:space="preserve">* ![Is compatible to the lua reference.][done] `pack`  </v>
      </c>
    </row>
    <row r="79" spans="1:6" x14ac:dyDescent="0.25">
      <c r="B79" t="s">
        <v>68</v>
      </c>
      <c r="C79" t="s">
        <v>25</v>
      </c>
      <c r="D79" t="s">
        <v>160</v>
      </c>
      <c r="F79" t="str">
        <f t="shared" si="4"/>
        <v xml:space="preserve">* ![Is compatible to the lua reference.][done] `remove`  </v>
      </c>
    </row>
    <row r="80" spans="1:6" x14ac:dyDescent="0.25">
      <c r="B80" t="s">
        <v>69</v>
      </c>
      <c r="C80" t="s">
        <v>25</v>
      </c>
      <c r="D80" t="s">
        <v>160</v>
      </c>
      <c r="F80" t="str">
        <f t="shared" si="4"/>
        <v xml:space="preserve">* ![Is compatible to the lua reference.][done] `sort`  </v>
      </c>
    </row>
    <row r="81" spans="1:6" x14ac:dyDescent="0.25">
      <c r="B81" t="s">
        <v>70</v>
      </c>
      <c r="C81" t="s">
        <v>25</v>
      </c>
      <c r="D81" t="s">
        <v>160</v>
      </c>
      <c r="F81" t="str">
        <f t="shared" si="4"/>
        <v xml:space="preserve">* ![Is compatible to the lua reference.][done] `unpack`  </v>
      </c>
    </row>
    <row r="83" spans="1:6" x14ac:dyDescent="0.25">
      <c r="A83" t="s">
        <v>71</v>
      </c>
      <c r="F83" t="str">
        <f>"## "&amp;A83</f>
        <v>## Mathematical functions (math)</v>
      </c>
    </row>
    <row r="84" spans="1:6" x14ac:dyDescent="0.25">
      <c r="B84" s="3" t="s">
        <v>155</v>
      </c>
      <c r="C84" s="4"/>
      <c r="D84" s="4"/>
      <c r="E84" s="4"/>
      <c r="F84" t="str">
        <f>B84</f>
        <v/>
      </c>
    </row>
    <row r="85" spans="1:6" x14ac:dyDescent="0.25">
      <c r="B85" t="s">
        <v>72</v>
      </c>
      <c r="C85" t="s">
        <v>25</v>
      </c>
      <c r="D85" t="s">
        <v>160</v>
      </c>
      <c r="F85" t="str">
        <f t="shared" ref="F85:F114" si="5">"* "&amp;GetImage(C85)&amp;" `"&amp;B85&amp;"`  "&amp;E85</f>
        <v xml:space="preserve">* ![Is compatible to the lua reference.][done] `abs`  </v>
      </c>
    </row>
    <row r="86" spans="1:6" x14ac:dyDescent="0.25">
      <c r="B86" t="s">
        <v>73</v>
      </c>
      <c r="C86" t="s">
        <v>25</v>
      </c>
      <c r="D86" t="s">
        <v>160</v>
      </c>
      <c r="F86" t="str">
        <f t="shared" si="5"/>
        <v xml:space="preserve">* ![Is compatible to the lua reference.][done] `acos`  </v>
      </c>
    </row>
    <row r="87" spans="1:6" x14ac:dyDescent="0.25">
      <c r="B87" t="s">
        <v>74</v>
      </c>
      <c r="C87" t="s">
        <v>25</v>
      </c>
      <c r="D87" t="s">
        <v>160</v>
      </c>
      <c r="F87" t="str">
        <f t="shared" si="5"/>
        <v xml:space="preserve">* ![Is compatible to the lua reference.][done] `asin`  </v>
      </c>
    </row>
    <row r="88" spans="1:6" x14ac:dyDescent="0.25">
      <c r="B88" t="s">
        <v>75</v>
      </c>
      <c r="C88" t="s">
        <v>25</v>
      </c>
      <c r="D88" t="s">
        <v>160</v>
      </c>
      <c r="F88" t="str">
        <f t="shared" si="5"/>
        <v xml:space="preserve">* ![Is compatible to the lua reference.][done] `atan`  </v>
      </c>
    </row>
    <row r="89" spans="1:6" x14ac:dyDescent="0.25">
      <c r="B89" t="s">
        <v>76</v>
      </c>
      <c r="C89" t="s">
        <v>25</v>
      </c>
      <c r="D89" t="s">
        <v>160</v>
      </c>
      <c r="F89" t="str">
        <f t="shared" si="5"/>
        <v xml:space="preserve">* ![Is compatible to the lua reference.][done] `atan2`  </v>
      </c>
    </row>
    <row r="90" spans="1:6" x14ac:dyDescent="0.25">
      <c r="B90" t="s">
        <v>77</v>
      </c>
      <c r="C90" t="s">
        <v>25</v>
      </c>
      <c r="D90" t="s">
        <v>160</v>
      </c>
      <c r="F90" t="str">
        <f t="shared" si="5"/>
        <v xml:space="preserve">* ![Is compatible to the lua reference.][done] `ceil`  </v>
      </c>
    </row>
    <row r="91" spans="1:6" x14ac:dyDescent="0.25">
      <c r="B91" t="s">
        <v>78</v>
      </c>
      <c r="C91" t="s">
        <v>25</v>
      </c>
      <c r="D91" t="s">
        <v>160</v>
      </c>
      <c r="F91" t="str">
        <f t="shared" si="5"/>
        <v xml:space="preserve">* ![Is compatible to the lua reference.][done] `cos`  </v>
      </c>
    </row>
    <row r="92" spans="1:6" x14ac:dyDescent="0.25">
      <c r="B92" t="s">
        <v>79</v>
      </c>
      <c r="C92" t="s">
        <v>25</v>
      </c>
      <c r="D92" t="s">
        <v>160</v>
      </c>
      <c r="F92" t="str">
        <f t="shared" si="5"/>
        <v xml:space="preserve">* ![Is compatible to the lua reference.][done] `cosh`  </v>
      </c>
    </row>
    <row r="93" spans="1:6" x14ac:dyDescent="0.25">
      <c r="B93" t="s">
        <v>80</v>
      </c>
      <c r="C93" t="s">
        <v>25</v>
      </c>
      <c r="D93" t="s">
        <v>160</v>
      </c>
      <c r="F93" t="str">
        <f t="shared" si="5"/>
        <v xml:space="preserve">* ![Is compatible to the lua reference.][done] `deg`  </v>
      </c>
    </row>
    <row r="94" spans="1:6" x14ac:dyDescent="0.25">
      <c r="B94" t="s">
        <v>81</v>
      </c>
      <c r="C94" t="s">
        <v>25</v>
      </c>
      <c r="D94" t="s">
        <v>160</v>
      </c>
      <c r="F94" t="str">
        <f t="shared" si="5"/>
        <v xml:space="preserve">* ![Is compatible to the lua reference.][done] `e`  </v>
      </c>
    </row>
    <row r="95" spans="1:6" x14ac:dyDescent="0.25">
      <c r="B95" t="s">
        <v>82</v>
      </c>
      <c r="C95" t="s">
        <v>25</v>
      </c>
      <c r="D95" t="s">
        <v>160</v>
      </c>
      <c r="F95" t="str">
        <f t="shared" si="5"/>
        <v xml:space="preserve">* ![Is compatible to the lua reference.][done] `exp`  </v>
      </c>
    </row>
    <row r="96" spans="1:6" x14ac:dyDescent="0.25">
      <c r="B96" t="s">
        <v>83</v>
      </c>
      <c r="C96" t="s">
        <v>25</v>
      </c>
      <c r="D96" t="s">
        <v>160</v>
      </c>
      <c r="F96" t="str">
        <f t="shared" si="5"/>
        <v xml:space="preserve">* ![Is compatible to the lua reference.][done] `floar`  </v>
      </c>
    </row>
    <row r="97" spans="2:6" x14ac:dyDescent="0.25">
      <c r="B97" t="s">
        <v>84</v>
      </c>
      <c r="C97" t="s">
        <v>25</v>
      </c>
      <c r="D97" t="s">
        <v>160</v>
      </c>
      <c r="F97" t="str">
        <f t="shared" si="5"/>
        <v xml:space="preserve">* ![Is compatible to the lua reference.][done] `fmod`  </v>
      </c>
    </row>
    <row r="98" spans="2:6" x14ac:dyDescent="0.25">
      <c r="B98" t="s">
        <v>85</v>
      </c>
      <c r="C98" t="s">
        <v>27</v>
      </c>
      <c r="F98" t="str">
        <f t="shared" si="5"/>
        <v xml:space="preserve">* ![Not implemented. Yet.][noti] `frexp`  </v>
      </c>
    </row>
    <row r="99" spans="2:6" x14ac:dyDescent="0.25">
      <c r="B99" t="s">
        <v>86</v>
      </c>
      <c r="C99" t="s">
        <v>27</v>
      </c>
      <c r="F99" t="str">
        <f t="shared" si="5"/>
        <v xml:space="preserve">* ![Not implemented. Yet.][noti] `huge`  </v>
      </c>
    </row>
    <row r="100" spans="2:6" x14ac:dyDescent="0.25">
      <c r="B100" t="s">
        <v>87</v>
      </c>
      <c r="C100" t="s">
        <v>27</v>
      </c>
      <c r="F100" t="str">
        <f t="shared" si="5"/>
        <v xml:space="preserve">* ![Not implemented. Yet.][noti] `ldexp`  </v>
      </c>
    </row>
    <row r="101" spans="2:6" x14ac:dyDescent="0.25">
      <c r="B101" t="s">
        <v>88</v>
      </c>
      <c r="C101" t="s">
        <v>25</v>
      </c>
      <c r="D101" t="s">
        <v>160</v>
      </c>
      <c r="F101" t="str">
        <f t="shared" si="5"/>
        <v xml:space="preserve">* ![Is compatible to the lua reference.][done] `log`  </v>
      </c>
    </row>
    <row r="102" spans="2:6" x14ac:dyDescent="0.25">
      <c r="B102" t="s">
        <v>89</v>
      </c>
      <c r="C102" t="s">
        <v>25</v>
      </c>
      <c r="D102" t="s">
        <v>160</v>
      </c>
      <c r="F102" t="str">
        <f t="shared" si="5"/>
        <v xml:space="preserve">* ![Is compatible to the lua reference.][done] `max`  </v>
      </c>
    </row>
    <row r="103" spans="2:6" x14ac:dyDescent="0.25">
      <c r="B103" t="s">
        <v>90</v>
      </c>
      <c r="C103" t="s">
        <v>25</v>
      </c>
      <c r="D103" t="s">
        <v>160</v>
      </c>
      <c r="F103" t="str">
        <f t="shared" si="5"/>
        <v xml:space="preserve">* ![Is compatible to the lua reference.][done] `min`  </v>
      </c>
    </row>
    <row r="104" spans="2:6" x14ac:dyDescent="0.25">
      <c r="B104" t="s">
        <v>91</v>
      </c>
      <c r="C104" t="s">
        <v>25</v>
      </c>
      <c r="D104" t="s">
        <v>160</v>
      </c>
      <c r="F104" t="str">
        <f t="shared" si="5"/>
        <v xml:space="preserve">* ![Is compatible to the lua reference.][done] `modf`  </v>
      </c>
    </row>
    <row r="105" spans="2:6" x14ac:dyDescent="0.25">
      <c r="B105" t="s">
        <v>92</v>
      </c>
      <c r="C105" t="s">
        <v>25</v>
      </c>
      <c r="D105" t="s">
        <v>160</v>
      </c>
      <c r="F105" t="str">
        <f t="shared" si="5"/>
        <v xml:space="preserve">* ![Is compatible to the lua reference.][done] `pi`  </v>
      </c>
    </row>
    <row r="106" spans="2:6" x14ac:dyDescent="0.25">
      <c r="B106" t="s">
        <v>93</v>
      </c>
      <c r="C106" t="s">
        <v>25</v>
      </c>
      <c r="D106" t="s">
        <v>160</v>
      </c>
      <c r="F106" t="str">
        <f t="shared" si="5"/>
        <v xml:space="preserve">* ![Is compatible to the lua reference.][done] `pow`  </v>
      </c>
    </row>
    <row r="107" spans="2:6" x14ac:dyDescent="0.25">
      <c r="B107" t="s">
        <v>94</v>
      </c>
      <c r="C107" t="s">
        <v>25</v>
      </c>
      <c r="D107" t="s">
        <v>160</v>
      </c>
      <c r="F107" t="str">
        <f t="shared" si="5"/>
        <v xml:space="preserve">* ![Is compatible to the lua reference.][done] `rad`  </v>
      </c>
    </row>
    <row r="108" spans="2:6" x14ac:dyDescent="0.25">
      <c r="B108" t="s">
        <v>95</v>
      </c>
      <c r="C108" t="s">
        <v>25</v>
      </c>
      <c r="D108" t="s">
        <v>160</v>
      </c>
      <c r="F108" t="str">
        <f t="shared" si="5"/>
        <v xml:space="preserve">* ![Is compatible to the lua reference.][done] `random`  </v>
      </c>
    </row>
    <row r="109" spans="2:6" x14ac:dyDescent="0.25">
      <c r="B109" t="s">
        <v>96</v>
      </c>
      <c r="C109" t="s">
        <v>25</v>
      </c>
      <c r="D109" t="s">
        <v>160</v>
      </c>
      <c r="F109" t="str">
        <f t="shared" si="5"/>
        <v xml:space="preserve">* ![Is compatible to the lua reference.][done] `randomseed`  </v>
      </c>
    </row>
    <row r="110" spans="2:6" x14ac:dyDescent="0.25">
      <c r="B110" t="s">
        <v>97</v>
      </c>
      <c r="C110" t="s">
        <v>25</v>
      </c>
      <c r="D110" t="s">
        <v>160</v>
      </c>
      <c r="F110" t="str">
        <f t="shared" si="5"/>
        <v xml:space="preserve">* ![Is compatible to the lua reference.][done] `sin`  </v>
      </c>
    </row>
    <row r="111" spans="2:6" x14ac:dyDescent="0.25">
      <c r="B111" t="s">
        <v>98</v>
      </c>
      <c r="C111" t="s">
        <v>25</v>
      </c>
      <c r="D111" t="s">
        <v>160</v>
      </c>
      <c r="F111" t="str">
        <f t="shared" si="5"/>
        <v xml:space="preserve">* ![Is compatible to the lua reference.][done] `sinh`  </v>
      </c>
    </row>
    <row r="112" spans="2:6" x14ac:dyDescent="0.25">
      <c r="B112" t="s">
        <v>99</v>
      </c>
      <c r="C112" t="s">
        <v>25</v>
      </c>
      <c r="D112" t="s">
        <v>160</v>
      </c>
      <c r="F112" t="str">
        <f t="shared" si="5"/>
        <v xml:space="preserve">* ![Is compatible to the lua reference.][done] `sqrt`  </v>
      </c>
    </row>
    <row r="113" spans="1:6" x14ac:dyDescent="0.25">
      <c r="B113" t="s">
        <v>100</v>
      </c>
      <c r="C113" t="s">
        <v>25</v>
      </c>
      <c r="D113" t="s">
        <v>160</v>
      </c>
      <c r="F113" t="str">
        <f t="shared" si="5"/>
        <v xml:space="preserve">* ![Is compatible to the lua reference.][done] `tan`  </v>
      </c>
    </row>
    <row r="114" spans="1:6" x14ac:dyDescent="0.25">
      <c r="B114" t="s">
        <v>101</v>
      </c>
      <c r="C114" t="s">
        <v>25</v>
      </c>
      <c r="D114" t="s">
        <v>160</v>
      </c>
      <c r="F114" t="str">
        <f t="shared" si="5"/>
        <v xml:space="preserve">* ![Is compatible to the lua reference.][done] `tanh`  </v>
      </c>
    </row>
    <row r="115" spans="1:6" x14ac:dyDescent="0.25">
      <c r="B115" s="4"/>
      <c r="C115" s="4"/>
      <c r="D115" s="4"/>
      <c r="E115" s="4"/>
    </row>
    <row r="116" spans="1:6" x14ac:dyDescent="0.25">
      <c r="A116" t="s">
        <v>102</v>
      </c>
      <c r="F116" t="str">
        <f>"## "&amp;A116</f>
        <v>## Bitwise operations (bit32)</v>
      </c>
    </row>
    <row r="117" spans="1:6" x14ac:dyDescent="0.25">
      <c r="B117" s="3" t="s">
        <v>155</v>
      </c>
      <c r="C117" s="4"/>
      <c r="D117" s="4"/>
      <c r="E117" s="4"/>
      <c r="F117" t="str">
        <f>B117</f>
        <v/>
      </c>
    </row>
    <row r="118" spans="1:6" x14ac:dyDescent="0.25">
      <c r="B118" t="s">
        <v>103</v>
      </c>
      <c r="C118" t="s">
        <v>25</v>
      </c>
      <c r="D118" t="s">
        <v>160</v>
      </c>
      <c r="F118" t="str">
        <f t="shared" ref="F118:F129" si="6">"* "&amp;GetImage(C118)&amp;" `"&amp;B118&amp;"`  "&amp;E118</f>
        <v xml:space="preserve">* ![Is compatible to the lua reference.][done] `arshift`  </v>
      </c>
    </row>
    <row r="119" spans="1:6" x14ac:dyDescent="0.25">
      <c r="B119" t="s">
        <v>104</v>
      </c>
      <c r="C119" t="s">
        <v>25</v>
      </c>
      <c r="D119" t="s">
        <v>160</v>
      </c>
      <c r="F119" t="str">
        <f t="shared" si="6"/>
        <v xml:space="preserve">* ![Is compatible to the lua reference.][done] `band`  </v>
      </c>
    </row>
    <row r="120" spans="1:6" x14ac:dyDescent="0.25">
      <c r="B120" t="s">
        <v>105</v>
      </c>
      <c r="C120" t="s">
        <v>25</v>
      </c>
      <c r="D120" t="s">
        <v>160</v>
      </c>
      <c r="F120" t="str">
        <f t="shared" si="6"/>
        <v xml:space="preserve">* ![Is compatible to the lua reference.][done] `bnot`  </v>
      </c>
    </row>
    <row r="121" spans="1:6" x14ac:dyDescent="0.25">
      <c r="B121" t="s">
        <v>106</v>
      </c>
      <c r="C121" t="s">
        <v>25</v>
      </c>
      <c r="D121" t="s">
        <v>160</v>
      </c>
      <c r="F121" t="str">
        <f t="shared" si="6"/>
        <v xml:space="preserve">* ![Is compatible to the lua reference.][done] `bor`  </v>
      </c>
    </row>
    <row r="122" spans="1:6" x14ac:dyDescent="0.25">
      <c r="B122" t="s">
        <v>107</v>
      </c>
      <c r="C122" t="s">
        <v>25</v>
      </c>
      <c r="D122" t="s">
        <v>160</v>
      </c>
      <c r="F122" t="str">
        <f t="shared" si="6"/>
        <v xml:space="preserve">* ![Is compatible to the lua reference.][done] `btest`  </v>
      </c>
    </row>
    <row r="123" spans="1:6" x14ac:dyDescent="0.25">
      <c r="B123" t="s">
        <v>108</v>
      </c>
      <c r="C123" t="s">
        <v>25</v>
      </c>
      <c r="D123" t="s">
        <v>160</v>
      </c>
      <c r="F123" t="str">
        <f t="shared" si="6"/>
        <v xml:space="preserve">* ![Is compatible to the lua reference.][done] `bxor`  </v>
      </c>
    </row>
    <row r="124" spans="1:6" x14ac:dyDescent="0.25">
      <c r="B124" t="s">
        <v>109</v>
      </c>
      <c r="C124" t="s">
        <v>25</v>
      </c>
      <c r="D124" t="s">
        <v>160</v>
      </c>
      <c r="F124" t="str">
        <f t="shared" si="6"/>
        <v xml:space="preserve">* ![Is compatible to the lua reference.][done] `extract`  </v>
      </c>
    </row>
    <row r="125" spans="1:6" x14ac:dyDescent="0.25">
      <c r="B125" t="s">
        <v>110</v>
      </c>
      <c r="C125" t="s">
        <v>25</v>
      </c>
      <c r="D125" t="s">
        <v>160</v>
      </c>
      <c r="F125" t="str">
        <f t="shared" si="6"/>
        <v xml:space="preserve">* ![Is compatible to the lua reference.][done] `replace`  </v>
      </c>
    </row>
    <row r="126" spans="1:6" x14ac:dyDescent="0.25">
      <c r="B126" t="s">
        <v>111</v>
      </c>
      <c r="C126" t="s">
        <v>25</v>
      </c>
      <c r="D126" t="s">
        <v>160</v>
      </c>
      <c r="F126" t="str">
        <f t="shared" si="6"/>
        <v xml:space="preserve">* ![Is compatible to the lua reference.][done] `lrotate`  </v>
      </c>
    </row>
    <row r="127" spans="1:6" x14ac:dyDescent="0.25">
      <c r="B127" t="s">
        <v>112</v>
      </c>
      <c r="C127" t="s">
        <v>25</v>
      </c>
      <c r="D127" t="s">
        <v>160</v>
      </c>
      <c r="F127" t="str">
        <f t="shared" si="6"/>
        <v xml:space="preserve">* ![Is compatible to the lua reference.][done] `lshift`  </v>
      </c>
    </row>
    <row r="128" spans="1:6" x14ac:dyDescent="0.25">
      <c r="B128" t="s">
        <v>113</v>
      </c>
      <c r="C128" t="s">
        <v>25</v>
      </c>
      <c r="D128" t="s">
        <v>160</v>
      </c>
      <c r="F128" t="str">
        <f t="shared" si="6"/>
        <v xml:space="preserve">* ![Is compatible to the lua reference.][done] `rrotate`  </v>
      </c>
    </row>
    <row r="129" spans="1:6" x14ac:dyDescent="0.25">
      <c r="B129" t="s">
        <v>114</v>
      </c>
      <c r="C129" t="s">
        <v>25</v>
      </c>
      <c r="D129" t="s">
        <v>160</v>
      </c>
      <c r="F129" t="str">
        <f t="shared" si="6"/>
        <v xml:space="preserve">* ![Is compatible to the lua reference.][done] `rshift`  </v>
      </c>
    </row>
    <row r="130" spans="1:6" x14ac:dyDescent="0.25">
      <c r="B130" s="4"/>
      <c r="C130" s="4"/>
      <c r="D130" s="4"/>
      <c r="E130" s="4"/>
    </row>
    <row r="131" spans="1:6" x14ac:dyDescent="0.25">
      <c r="A131" t="s">
        <v>115</v>
      </c>
      <c r="F131" t="str">
        <f>"## "&amp;A131</f>
        <v>## Input and output (io)</v>
      </c>
    </row>
    <row r="132" spans="1:6" ht="41.25" customHeight="1" x14ac:dyDescent="0.25">
      <c r="B132" s="3" t="s">
        <v>165</v>
      </c>
      <c r="C132" s="4"/>
      <c r="D132" s="4"/>
      <c r="E132" s="4"/>
      <c r="F132" t="str">
        <f>B132</f>
        <v>Works only with ASCII files.
The file-handle uses the IDisposable-Pattern.</v>
      </c>
    </row>
    <row r="133" spans="1:6" x14ac:dyDescent="0.25">
      <c r="B133" t="s">
        <v>116</v>
      </c>
      <c r="C133" t="s">
        <v>25</v>
      </c>
      <c r="D133" t="s">
        <v>160</v>
      </c>
      <c r="F133" t="str">
        <f t="shared" ref="F133:F151" si="7">"* "&amp;GetImage(C133)&amp;" `"&amp;B133&amp;"`  "&amp;E133</f>
        <v xml:space="preserve">* ![Is compatible to the lua reference.][done] `close`  </v>
      </c>
    </row>
    <row r="134" spans="1:6" x14ac:dyDescent="0.25">
      <c r="B134" t="s">
        <v>117</v>
      </c>
      <c r="C134" t="s">
        <v>25</v>
      </c>
      <c r="D134" t="s">
        <v>160</v>
      </c>
      <c r="F134" t="str">
        <f t="shared" si="7"/>
        <v xml:space="preserve">* ![Is compatible to the lua reference.][done] `flush`  </v>
      </c>
    </row>
    <row r="135" spans="1:6" x14ac:dyDescent="0.25">
      <c r="B135" t="s">
        <v>118</v>
      </c>
      <c r="C135" t="s">
        <v>25</v>
      </c>
      <c r="D135" t="s">
        <v>160</v>
      </c>
      <c r="F135" t="str">
        <f t="shared" si="7"/>
        <v xml:space="preserve">* ![Is compatible to the lua reference.][done] `input`  </v>
      </c>
    </row>
    <row r="136" spans="1:6" x14ac:dyDescent="0.25">
      <c r="B136" t="s">
        <v>119</v>
      </c>
      <c r="C136" t="s">
        <v>25</v>
      </c>
      <c r="D136" t="s">
        <v>160</v>
      </c>
      <c r="F136" t="str">
        <f t="shared" si="7"/>
        <v xml:space="preserve">* ![Is compatible to the lua reference.][done] `lines`  </v>
      </c>
    </row>
    <row r="137" spans="1:6" x14ac:dyDescent="0.25">
      <c r="B137" t="s">
        <v>120</v>
      </c>
      <c r="C137" t="s">
        <v>25</v>
      </c>
      <c r="D137" t="s">
        <v>160</v>
      </c>
      <c r="F137" t="str">
        <f t="shared" si="7"/>
        <v xml:space="preserve">* ![Is compatible to the lua reference.][done] `open`  </v>
      </c>
    </row>
    <row r="138" spans="1:6" x14ac:dyDescent="0.25">
      <c r="B138" t="s">
        <v>121</v>
      </c>
      <c r="C138" t="s">
        <v>25</v>
      </c>
      <c r="D138" t="s">
        <v>160</v>
      </c>
      <c r="F138" t="str">
        <f t="shared" si="7"/>
        <v xml:space="preserve">* ![Is compatible to the lua reference.][done] `output`  </v>
      </c>
    </row>
    <row r="139" spans="1:6" x14ac:dyDescent="0.25">
      <c r="B139" t="s">
        <v>122</v>
      </c>
      <c r="C139" t="s">
        <v>25</v>
      </c>
      <c r="D139" t="s">
        <v>160</v>
      </c>
      <c r="F139" t="str">
        <f t="shared" si="7"/>
        <v xml:space="preserve">* ![Is compatible to the lua reference.][done] `popen`  </v>
      </c>
    </row>
    <row r="140" spans="1:6" x14ac:dyDescent="0.25">
      <c r="B140" t="s">
        <v>123</v>
      </c>
      <c r="C140" t="s">
        <v>25</v>
      </c>
      <c r="D140" t="s">
        <v>160</v>
      </c>
      <c r="F140" t="str">
        <f t="shared" si="7"/>
        <v xml:space="preserve">* ![Is compatible to the lua reference.][done] `read`  </v>
      </c>
    </row>
    <row r="141" spans="1:6" x14ac:dyDescent="0.25">
      <c r="B141" t="s">
        <v>124</v>
      </c>
      <c r="C141" t="s">
        <v>25</v>
      </c>
      <c r="D141" t="s">
        <v>160</v>
      </c>
      <c r="F141" t="str">
        <f t="shared" si="7"/>
        <v xml:space="preserve">* ![Is compatible to the lua reference.][done] `tmpfile`  </v>
      </c>
    </row>
    <row r="142" spans="1:6" x14ac:dyDescent="0.25">
      <c r="B142" t="s">
        <v>163</v>
      </c>
      <c r="C142" t="s">
        <v>26</v>
      </c>
      <c r="D142" t="s">
        <v>160</v>
      </c>
      <c r="E142" t="s">
        <v>164</v>
      </c>
      <c r="F142" t="str">
        <f t="shared" si="7"/>
        <v>* ![Not full compatible to the lua reference.][noco] `tmpfilenew`  Creates a temporary file, that is deleted, when it is closed.</v>
      </c>
    </row>
    <row r="143" spans="1:6" x14ac:dyDescent="0.25">
      <c r="B143" t="s">
        <v>22</v>
      </c>
      <c r="C143" t="s">
        <v>25</v>
      </c>
      <c r="D143" t="s">
        <v>160</v>
      </c>
      <c r="F143" t="str">
        <f t="shared" si="7"/>
        <v xml:space="preserve">* ![Is compatible to the lua reference.][done] `type`  </v>
      </c>
    </row>
    <row r="144" spans="1:6" x14ac:dyDescent="0.25">
      <c r="B144" t="s">
        <v>125</v>
      </c>
      <c r="C144" t="s">
        <v>25</v>
      </c>
      <c r="D144" t="s">
        <v>160</v>
      </c>
      <c r="F144" t="str">
        <f t="shared" si="7"/>
        <v xml:space="preserve">* ![Is compatible to the lua reference.][done] `write`  </v>
      </c>
    </row>
    <row r="145" spans="1:6" x14ac:dyDescent="0.25">
      <c r="B145" t="s">
        <v>126</v>
      </c>
      <c r="C145" t="s">
        <v>25</v>
      </c>
      <c r="D145" t="s">
        <v>160</v>
      </c>
      <c r="F145" t="str">
        <f t="shared" si="7"/>
        <v xml:space="preserve">* ![Is compatible to the lua reference.][done] `:close`  </v>
      </c>
    </row>
    <row r="146" spans="1:6" x14ac:dyDescent="0.25">
      <c r="B146" t="s">
        <v>127</v>
      </c>
      <c r="C146" t="s">
        <v>25</v>
      </c>
      <c r="D146" t="s">
        <v>160</v>
      </c>
      <c r="F146" t="str">
        <f t="shared" si="7"/>
        <v xml:space="preserve">* ![Is compatible to the lua reference.][done] `:flush`  </v>
      </c>
    </row>
    <row r="147" spans="1:6" x14ac:dyDescent="0.25">
      <c r="B147" t="s">
        <v>128</v>
      </c>
      <c r="C147" t="s">
        <v>25</v>
      </c>
      <c r="D147" t="s">
        <v>160</v>
      </c>
      <c r="F147" t="str">
        <f t="shared" si="7"/>
        <v xml:space="preserve">* ![Is compatible to the lua reference.][done] `:lines`  </v>
      </c>
    </row>
    <row r="148" spans="1:6" x14ac:dyDescent="0.25">
      <c r="B148" t="s">
        <v>129</v>
      </c>
      <c r="C148" t="s">
        <v>25</v>
      </c>
      <c r="D148" t="s">
        <v>160</v>
      </c>
      <c r="F148" t="str">
        <f t="shared" si="7"/>
        <v xml:space="preserve">* ![Is compatible to the lua reference.][done] `:read`  </v>
      </c>
    </row>
    <row r="149" spans="1:6" x14ac:dyDescent="0.25">
      <c r="B149" t="s">
        <v>130</v>
      </c>
      <c r="C149" t="s">
        <v>25</v>
      </c>
      <c r="D149" t="s">
        <v>160</v>
      </c>
      <c r="F149" t="str">
        <f t="shared" si="7"/>
        <v xml:space="preserve">* ![Is compatible to the lua reference.][done] `:seek`  </v>
      </c>
    </row>
    <row r="150" spans="1:6" x14ac:dyDescent="0.25">
      <c r="B150" t="s">
        <v>131</v>
      </c>
      <c r="C150" t="s">
        <v>25</v>
      </c>
      <c r="D150" t="s">
        <v>160</v>
      </c>
      <c r="E150" t="s">
        <v>162</v>
      </c>
      <c r="F150" t="str">
        <f t="shared" si="7"/>
        <v>* ![Is compatible to the lua reference.][done] `:setvbuf`  Ignored.</v>
      </c>
    </row>
    <row r="151" spans="1:6" x14ac:dyDescent="0.25">
      <c r="B151" t="s">
        <v>132</v>
      </c>
      <c r="C151" t="s">
        <v>25</v>
      </c>
      <c r="D151" t="s">
        <v>160</v>
      </c>
      <c r="F151" t="str">
        <f t="shared" si="7"/>
        <v xml:space="preserve">* ![Is compatible to the lua reference.][done] `:write`  </v>
      </c>
    </row>
    <row r="152" spans="1:6" x14ac:dyDescent="0.25">
      <c r="B152" s="4"/>
      <c r="C152" s="4"/>
      <c r="D152" s="4"/>
      <c r="E152" s="4"/>
    </row>
    <row r="153" spans="1:6" x14ac:dyDescent="0.25">
      <c r="A153" t="s">
        <v>133</v>
      </c>
      <c r="F153" t="str">
        <f>"## "&amp;A153</f>
        <v>## Operating system facilities (os)</v>
      </c>
    </row>
    <row r="154" spans="1:6" x14ac:dyDescent="0.25">
      <c r="B154" s="2" t="s">
        <v>155</v>
      </c>
      <c r="F154" t="str">
        <f>B154</f>
        <v/>
      </c>
    </row>
    <row r="155" spans="1:6" x14ac:dyDescent="0.25">
      <c r="B155" t="s">
        <v>134</v>
      </c>
      <c r="C155" t="s">
        <v>25</v>
      </c>
      <c r="D155" t="s">
        <v>160</v>
      </c>
      <c r="E155" t="s">
        <v>166</v>
      </c>
      <c r="F155" t="str">
        <f t="shared" ref="F155:F165" si="8">"* "&amp;GetImage(C155)&amp;" `"&amp;B155&amp;"`  "&amp;E155</f>
        <v>* ![Is compatible to the lua reference.][done] `clock`  Returns TotalProcessorTime in seconds.</v>
      </c>
    </row>
    <row r="156" spans="1:6" x14ac:dyDescent="0.25">
      <c r="B156" t="s">
        <v>135</v>
      </c>
      <c r="C156" t="s">
        <v>25</v>
      </c>
      <c r="F156" t="str">
        <f t="shared" si="8"/>
        <v xml:space="preserve">* ![Is compatible to the lua reference.][done] `date`  </v>
      </c>
    </row>
    <row r="157" spans="1:6" x14ac:dyDescent="0.25">
      <c r="B157" t="s">
        <v>136</v>
      </c>
      <c r="C157" t="s">
        <v>25</v>
      </c>
      <c r="F157" t="str">
        <f t="shared" si="8"/>
        <v xml:space="preserve">* ![Is compatible to the lua reference.][done] `difftime`  </v>
      </c>
    </row>
    <row r="158" spans="1:6" x14ac:dyDescent="0.25">
      <c r="B158" t="s">
        <v>137</v>
      </c>
      <c r="C158" t="s">
        <v>25</v>
      </c>
      <c r="D158" t="s">
        <v>160</v>
      </c>
      <c r="E158" t="s">
        <v>167</v>
      </c>
      <c r="F158" t="str">
        <f t="shared" si="8"/>
        <v>* ![Is compatible to the lua reference.][done] `execute`  On windows is no signal-result.</v>
      </c>
    </row>
    <row r="159" spans="1:6" x14ac:dyDescent="0.25">
      <c r="B159" t="s">
        <v>138</v>
      </c>
      <c r="C159" t="s">
        <v>25</v>
      </c>
      <c r="D159" t="s">
        <v>160</v>
      </c>
      <c r="F159" t="str">
        <f t="shared" si="8"/>
        <v xml:space="preserve">* ![Is compatible to the lua reference.][done] `exit`  </v>
      </c>
    </row>
    <row r="160" spans="1:6" x14ac:dyDescent="0.25">
      <c r="B160" t="s">
        <v>139</v>
      </c>
      <c r="C160" t="s">
        <v>25</v>
      </c>
      <c r="D160" t="s">
        <v>160</v>
      </c>
      <c r="F160" t="str">
        <f t="shared" si="8"/>
        <v xml:space="preserve">* ![Is compatible to the lua reference.][done] `getenv`  </v>
      </c>
    </row>
    <row r="161" spans="1:6" x14ac:dyDescent="0.25">
      <c r="B161" t="s">
        <v>68</v>
      </c>
      <c r="C161" t="s">
        <v>25</v>
      </c>
      <c r="D161" t="s">
        <v>160</v>
      </c>
      <c r="F161" t="str">
        <f t="shared" si="8"/>
        <v xml:space="preserve">* ![Is compatible to the lua reference.][done] `remove`  </v>
      </c>
    </row>
    <row r="162" spans="1:6" x14ac:dyDescent="0.25">
      <c r="B162" t="s">
        <v>140</v>
      </c>
      <c r="C162" t="s">
        <v>25</v>
      </c>
      <c r="D162" t="s">
        <v>160</v>
      </c>
      <c r="F162" t="str">
        <f t="shared" si="8"/>
        <v xml:space="preserve">* ![Is compatible to the lua reference.][done] `rename`  </v>
      </c>
    </row>
    <row r="163" spans="1:6" x14ac:dyDescent="0.25">
      <c r="B163" t="s">
        <v>141</v>
      </c>
      <c r="C163" t="s">
        <v>27</v>
      </c>
      <c r="F163" t="str">
        <f t="shared" si="8"/>
        <v xml:space="preserve">* ![Not implemented. Yet.][noti] `setlocale`  </v>
      </c>
    </row>
    <row r="164" spans="1:6" x14ac:dyDescent="0.25">
      <c r="B164" t="s">
        <v>142</v>
      </c>
      <c r="C164" t="s">
        <v>25</v>
      </c>
      <c r="F164" t="str">
        <f t="shared" si="8"/>
        <v xml:space="preserve">* ![Is compatible to the lua reference.][done] `time`  </v>
      </c>
    </row>
    <row r="165" spans="1:6" x14ac:dyDescent="0.25">
      <c r="B165" t="s">
        <v>143</v>
      </c>
      <c r="C165" t="s">
        <v>25</v>
      </c>
      <c r="D165" t="s">
        <v>160</v>
      </c>
      <c r="F165" t="str">
        <f t="shared" si="8"/>
        <v xml:space="preserve">* ![Is compatible to the lua reference.][done] `tmpname`  </v>
      </c>
    </row>
    <row r="166" spans="1:6" x14ac:dyDescent="0.25">
      <c r="B166" s="4"/>
      <c r="C166" s="4"/>
      <c r="D166" s="4"/>
      <c r="E166" s="4"/>
    </row>
    <row r="167" spans="1:6" x14ac:dyDescent="0.25">
      <c r="A167" t="s">
        <v>144</v>
      </c>
      <c r="F167" t="str">
        <f>"## "&amp;A167</f>
        <v>## Debug facilities (debug)</v>
      </c>
    </row>
    <row r="168" spans="1:6" x14ac:dyDescent="0.25">
      <c r="B168" s="3" t="s">
        <v>155</v>
      </c>
      <c r="C168" s="4"/>
      <c r="D168" s="4"/>
      <c r="E168" s="4"/>
      <c r="F168" t="str">
        <f>B168</f>
        <v/>
      </c>
    </row>
    <row r="169" spans="1:6" x14ac:dyDescent="0.25">
      <c r="B169" t="s">
        <v>145</v>
      </c>
      <c r="C169" t="s">
        <v>27</v>
      </c>
      <c r="F169" t="str">
        <f t="shared" ref="F169:F184" si="9">"* "&amp;GetImage(C169)&amp;" `"&amp;B169&amp;"`  "&amp;E169</f>
        <v xml:space="preserve">* ![Not implemented. Yet.][noti] `debug`  </v>
      </c>
    </row>
    <row r="170" spans="1:6" x14ac:dyDescent="0.25">
      <c r="B170" t="s">
        <v>169</v>
      </c>
      <c r="C170" t="s">
        <v>27</v>
      </c>
      <c r="F170" t="str">
        <f t="shared" si="9"/>
        <v xml:space="preserve">* ![Not implemented. Yet.][noti] `getuservalue`  </v>
      </c>
    </row>
    <row r="171" spans="1:6" x14ac:dyDescent="0.25">
      <c r="B171" t="s">
        <v>146</v>
      </c>
      <c r="C171" t="s">
        <v>27</v>
      </c>
      <c r="F171" t="str">
        <f t="shared" si="9"/>
        <v xml:space="preserve">* ![Not implemented. Yet.][noti] `gethook`  </v>
      </c>
    </row>
    <row r="172" spans="1:6" x14ac:dyDescent="0.25">
      <c r="B172" t="s">
        <v>147</v>
      </c>
      <c r="C172" t="s">
        <v>27</v>
      </c>
      <c r="F172" t="str">
        <f t="shared" si="9"/>
        <v xml:space="preserve">* ![Not implemented. Yet.][noti] `getinfo`  </v>
      </c>
    </row>
    <row r="173" spans="1:6" x14ac:dyDescent="0.25">
      <c r="B173" t="s">
        <v>148</v>
      </c>
      <c r="C173" t="s">
        <v>27</v>
      </c>
      <c r="F173" t="str">
        <f t="shared" si="9"/>
        <v xml:space="preserve">* ![Not implemented. Yet.][noti] `getlocal`  </v>
      </c>
    </row>
    <row r="174" spans="1:6" x14ac:dyDescent="0.25">
      <c r="B174" t="s">
        <v>6</v>
      </c>
      <c r="C174" t="s">
        <v>27</v>
      </c>
      <c r="F174" t="str">
        <f t="shared" si="9"/>
        <v xml:space="preserve">* ![Not implemented. Yet.][noti] `getmetatable`  </v>
      </c>
    </row>
    <row r="175" spans="1:6" x14ac:dyDescent="0.25">
      <c r="B175" t="s">
        <v>149</v>
      </c>
      <c r="C175" t="s">
        <v>27</v>
      </c>
      <c r="F175" t="str">
        <f t="shared" si="9"/>
        <v xml:space="preserve">* ![Not implemented. Yet.][noti] `getregistry`  </v>
      </c>
    </row>
    <row r="176" spans="1:6" x14ac:dyDescent="0.25">
      <c r="B176" t="s">
        <v>150</v>
      </c>
      <c r="C176" t="s">
        <v>25</v>
      </c>
      <c r="D176" t="s">
        <v>160</v>
      </c>
      <c r="E176" t="s">
        <v>175</v>
      </c>
      <c r="F176" t="str">
        <f t="shared" si="9"/>
        <v>* ![Is compatible to the lua reference.][done] `getupvalue`  Works on closures and classes.</v>
      </c>
    </row>
    <row r="177" spans="2:6" x14ac:dyDescent="0.25">
      <c r="B177" t="s">
        <v>151</v>
      </c>
      <c r="C177" t="s">
        <v>27</v>
      </c>
      <c r="F177" t="str">
        <f t="shared" si="9"/>
        <v xml:space="preserve">* ![Not implemented. Yet.][noti] `setuservalue`  </v>
      </c>
    </row>
    <row r="178" spans="2:6" x14ac:dyDescent="0.25">
      <c r="B178" t="s">
        <v>170</v>
      </c>
      <c r="C178" t="s">
        <v>27</v>
      </c>
      <c r="F178" t="str">
        <f t="shared" si="9"/>
        <v xml:space="preserve">* ![Not implemented. Yet.][noti] `sethook`  </v>
      </c>
    </row>
    <row r="179" spans="2:6" x14ac:dyDescent="0.25">
      <c r="B179" t="s">
        <v>171</v>
      </c>
      <c r="C179" t="s">
        <v>27</v>
      </c>
      <c r="F179" t="str">
        <f t="shared" si="9"/>
        <v xml:space="preserve">* ![Not implemented. Yet.][noti] `setlocal`  </v>
      </c>
    </row>
    <row r="180" spans="2:6" x14ac:dyDescent="0.25">
      <c r="B180" t="s">
        <v>19</v>
      </c>
      <c r="C180" t="s">
        <v>27</v>
      </c>
      <c r="F180" t="str">
        <f t="shared" si="9"/>
        <v xml:space="preserve">* ![Not implemented. Yet.][noti] `setmetatable`  </v>
      </c>
    </row>
    <row r="181" spans="2:6" x14ac:dyDescent="0.25">
      <c r="B181" t="s">
        <v>172</v>
      </c>
      <c r="C181" t="s">
        <v>25</v>
      </c>
      <c r="D181" t="s">
        <v>160</v>
      </c>
      <c r="E181" t="s">
        <v>175</v>
      </c>
      <c r="F181" t="str">
        <f t="shared" si="9"/>
        <v>* ![Is compatible to the lua reference.][done] `setupvalue`  Works on closures and classes.</v>
      </c>
    </row>
    <row r="182" spans="2:6" x14ac:dyDescent="0.25">
      <c r="B182" t="s">
        <v>152</v>
      </c>
      <c r="C182" t="s">
        <v>27</v>
      </c>
      <c r="F182" t="str">
        <f t="shared" si="9"/>
        <v xml:space="preserve">* ![Not implemented. Yet.][noti] `traceback`  </v>
      </c>
    </row>
    <row r="183" spans="2:6" x14ac:dyDescent="0.25">
      <c r="B183" t="s">
        <v>153</v>
      </c>
      <c r="C183" t="s">
        <v>26</v>
      </c>
      <c r="D183" t="s">
        <v>160</v>
      </c>
      <c r="E183" t="s">
        <v>173</v>
      </c>
      <c r="F183" t="str">
        <f t="shared" si="9"/>
        <v>* ![Not full compatible to the lua reference.][noco] `upvalueid`  Do not trust the returned integer. The return value is only good for comparison.</v>
      </c>
    </row>
    <row r="184" spans="2:6" x14ac:dyDescent="0.25">
      <c r="B184" t="s">
        <v>154</v>
      </c>
      <c r="C184" t="s">
        <v>26</v>
      </c>
      <c r="D184" t="s">
        <v>160</v>
      </c>
      <c r="E184" t="s">
        <v>174</v>
      </c>
      <c r="F184" t="str">
        <f t="shared" si="9"/>
        <v>* ![Not full compatible to the lua reference.][noco] `upvaluejoin`  Only works on closures (Lambda's). For example, the upvalues of the function that is returned by load are not join-able.</v>
      </c>
    </row>
    <row r="187" spans="2:6" x14ac:dyDescent="0.25">
      <c r="F187" t="s">
        <v>178</v>
      </c>
    </row>
    <row r="188" spans="2:6" x14ac:dyDescent="0.25">
      <c r="F188" t="s">
        <v>179</v>
      </c>
    </row>
    <row r="189" spans="2:6" x14ac:dyDescent="0.25">
      <c r="F189" t="s">
        <v>180</v>
      </c>
    </row>
  </sheetData>
  <mergeCells count="13">
    <mergeCell ref="B84:E84"/>
    <mergeCell ref="B5:E5"/>
    <mergeCell ref="B35:E35"/>
    <mergeCell ref="B46:E46"/>
    <mergeCell ref="B58:E58"/>
    <mergeCell ref="B75:E75"/>
    <mergeCell ref="B168:E168"/>
    <mergeCell ref="B115:E115"/>
    <mergeCell ref="B117:E117"/>
    <mergeCell ref="B130:E130"/>
    <mergeCell ref="B132:E132"/>
    <mergeCell ref="B152:E152"/>
    <mergeCell ref="B166:E16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Tabelle1</vt:lpstr>
      <vt:lpstr>DONEHINT</vt:lpstr>
      <vt:lpstr>NOCOHINT</vt:lpstr>
      <vt:lpstr>NOTIHINT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2014-11-15T22:07:30Z</dcterms:modified>
</cp:coreProperties>
</file>